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tep 1 - Eliminate" sheetId="2" state="visible" r:id="rId2"/>
    <sheet xmlns:r="http://schemas.openxmlformats.org/officeDocument/2006/relationships" name="Step 2 - Right-Size" sheetId="3" state="visible" r:id="rId3"/>
    <sheet xmlns:r="http://schemas.openxmlformats.org/officeDocument/2006/relationships" name="Step 3 - Commitments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E293B"/>
      <sz val="11"/>
    </font>
    <font>
      <name val="Calibri"/>
      <b val="1"/>
      <sz val="13"/>
    </font>
    <font>
      <name val="Calibri"/>
      <b val="1"/>
      <color rgb="000F172A"/>
      <sz val="11"/>
    </font>
    <font>
      <b val="1"/>
      <color rgb="00047857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3" borderId="1" pivotButton="0" quotePrefix="0" xfId="0"/>
    <xf numFmtId="164" fontId="6" fillId="3" borderId="1" pivotButton="0" quotePrefix="0" xfId="0"/>
    <xf numFmtId="0" fontId="4" fillId="0" borderId="1" pivotButton="0" quotePrefix="0" xfId="0"/>
    <xf numFmtId="165" fontId="3" fillId="0" borderId="1" pivotButton="0" quotePrefix="0" xfId="0"/>
    <xf numFmtId="164" fontId="0" fillId="0" borderId="1" pivotButton="0" quotePrefix="0" xfId="0"/>
    <xf numFmtId="0" fontId="7" fillId="0" borderId="1" pivotButton="0" quotePrefix="0" xfId="0"/>
    <xf numFmtId="165" fontId="0" fillId="0" borderId="1" pivotButton="0" quotePrefix="0" xfId="0"/>
    <xf numFmtId="165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9" customWidth="1" min="2" max="2"/>
  </cols>
  <sheetData>
    <row r="1">
      <c r="A1" s="1" t="inlineStr">
        <is>
          <t>LendFlow FinOps Framework — Savings Model Global Assumptions</t>
        </is>
      </c>
    </row>
    <row r="2"/>
    <row r="3">
      <c r="A3" s="2" t="inlineStr">
        <is>
          <t>Parameter</t>
        </is>
      </c>
      <c r="B3" s="2" t="inlineStr">
        <is>
          <t>Assumption Value</t>
        </is>
      </c>
    </row>
    <row r="4">
      <c r="A4" s="3" t="inlineStr">
        <is>
          <t>Baseline Monthly Spend (Month 6)</t>
        </is>
      </c>
      <c r="B4" s="4" t="n">
        <v>180000</v>
      </c>
    </row>
    <row r="5">
      <c r="A5" s="3" t="inlineStr">
        <is>
          <t>Monthly Revenue</t>
        </is>
      </c>
      <c r="B5" s="4" t="n">
        <v>1000000</v>
      </c>
    </row>
    <row r="6">
      <c r="A6" s="3" t="inlineStr">
        <is>
          <t>Monthly Loan Applications Volume</t>
        </is>
      </c>
      <c r="B6" s="5" t="n">
        <v>500000</v>
      </c>
    </row>
    <row r="7">
      <c r="A7" s="3" t="inlineStr">
        <is>
          <t>Target Monthly Savings (Board Mandate)</t>
        </is>
      </c>
      <c r="B7" s="4" t="n">
        <v>60000</v>
      </c>
    </row>
    <row r="8">
      <c r="A8" s="3" t="inlineStr">
        <is>
          <t>Target Monthly Spend Ceiling</t>
        </is>
      </c>
      <c r="B8" s="4" t="n">
        <v>120000</v>
      </c>
    </row>
    <row r="9">
      <c r="A9" s="3" t="inlineStr">
        <is>
          <t>Step 1 Elimination Factor (Idle Fleet)</t>
        </is>
      </c>
      <c r="B9" s="6" t="n">
        <v>0.5</v>
      </c>
    </row>
    <row r="10">
      <c r="A10" s="3" t="inlineStr">
        <is>
          <t>Step 2 Graviton3 Direct Discount vs x86</t>
        </is>
      </c>
      <c r="B10" s="6" t="n">
        <v>0.2</v>
      </c>
    </row>
    <row r="11">
      <c r="A11" s="3" t="inlineStr">
        <is>
          <t>Step 2 gp3 Storage Savings vs gp2</t>
        </is>
      </c>
      <c r="B11" s="6" t="n">
        <v>0.2</v>
      </c>
    </row>
    <row r="12">
      <c r="A12" s="3" t="inlineStr">
        <is>
          <t>Step 3 Savings Plans Coverage Target</t>
        </is>
      </c>
      <c r="B12" s="6" t="n">
        <v>0.7</v>
      </c>
    </row>
    <row r="13">
      <c r="A13" s="3" t="inlineStr">
        <is>
          <t>Step 3 1-Year Compute Savings Plans Discount</t>
        </is>
      </c>
      <c r="B13" s="6" t="n">
        <v>0.38</v>
      </c>
    </row>
    <row r="14">
      <c r="A14" s="3" t="inlineStr">
        <is>
          <t>Step 3 Spot Instance Average Discount vs On-Demand</t>
        </is>
      </c>
      <c r="B14" s="6" t="n">
        <v>0.7</v>
      </c>
    </row>
    <row r="15">
      <c r="A15" s="3" t="inlineStr">
        <is>
          <t>Compliance Ring-Fenced Budget (Non-Reducible)</t>
        </is>
      </c>
      <c r="B15" s="4" t="n">
        <v>16300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3" customWidth="1" min="2" max="2"/>
    <col width="22" customWidth="1" min="3" max="3"/>
  </cols>
  <sheetData>
    <row r="1">
      <c r="A1" s="7" t="inlineStr">
        <is>
          <t>Step 1: Eliminate Idle &amp; Orphaned Resources (Applied to $180,000 Baseline)</t>
        </is>
      </c>
    </row>
    <row r="2"/>
    <row r="3">
      <c r="A3" s="2" t="inlineStr">
        <is>
          <t>Initiative Description</t>
        </is>
      </c>
      <c r="B3" s="2" t="inlineStr">
        <is>
          <t>Appendix A</t>
        </is>
      </c>
      <c r="C3" s="2" t="inlineStr">
        <is>
          <t>Monthly Savings ($)</t>
        </is>
      </c>
    </row>
    <row r="4">
      <c r="A4" s="3" t="inlineStr">
        <is>
          <t>Non-Production Environment Scheduling (dev/staging off 12h/d + weekends)</t>
        </is>
      </c>
      <c r="B4" s="3" t="inlineStr">
        <is>
          <t>A-13</t>
        </is>
      </c>
      <c r="C4" s="4" t="n">
        <v>15000</v>
      </c>
    </row>
    <row r="5">
      <c r="A5" s="3" t="inlineStr">
        <is>
          <t>S3 Intelligent-Tiering &amp; Lifecycle Policies (Standard -&gt; IA / Glacier)</t>
        </is>
      </c>
      <c r="B5" s="3" t="inlineStr">
        <is>
          <t>A-07</t>
        </is>
      </c>
      <c r="C5" s="4" t="n">
        <v>2800</v>
      </c>
    </row>
    <row r="6">
      <c r="A6" s="3" t="inlineStr">
        <is>
          <t>Orphaned EBS Volume Cleanup Automation (&gt;7 days unattached)</t>
        </is>
      </c>
      <c r="B6" s="3" t="inlineStr">
        <is>
          <t>A-04</t>
        </is>
      </c>
      <c r="C6" s="4" t="n">
        <v>2900</v>
      </c>
    </row>
    <row r="7">
      <c r="A7" s="3" t="inlineStr">
        <is>
          <t>Unassociated Elastic IP &amp; Idle ELB Decommissioning</t>
        </is>
      </c>
      <c r="B7" s="3" t="inlineStr">
        <is>
          <t>A-06</t>
        </is>
      </c>
      <c r="C7" s="4" t="n">
        <v>1100</v>
      </c>
    </row>
    <row r="8">
      <c r="A8" s="3" t="inlineStr">
        <is>
          <t>Vendor &amp; Third-Party API Cache Deduplication</t>
        </is>
      </c>
      <c r="B8" s="3" t="inlineStr">
        <is>
          <t>A-22</t>
        </is>
      </c>
      <c r="C8" s="4" t="n">
        <v>2000</v>
      </c>
    </row>
    <row r="9">
      <c r="A9" s="3" t="inlineStr">
        <is>
          <t>Cross-AZ Transfer Reduction via S3 Gateway VPC Endpoints</t>
        </is>
      </c>
      <c r="B9" s="3" t="inlineStr">
        <is>
          <t>A-17</t>
        </is>
      </c>
      <c r="C9" s="4" t="n">
        <v>1200</v>
      </c>
    </row>
    <row r="10">
      <c r="A10" s="8" t="inlineStr">
        <is>
          <t>STEP 1 TOTAL SAVINGS</t>
        </is>
      </c>
      <c r="B10" s="9" t="inlineStr"/>
      <c r="C10" s="10">
        <f>SUM(C4:C9)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3" customWidth="1" min="2" max="2"/>
    <col width="22" customWidth="1" min="3" max="3"/>
  </cols>
  <sheetData>
    <row r="1">
      <c r="A1" s="7" t="inlineStr">
        <is>
          <t>Step 2: Right-Size Capacity (Applied to Post-Step 1 $155,000 Baseline)</t>
        </is>
      </c>
    </row>
    <row r="2"/>
    <row r="3">
      <c r="A3" s="2" t="inlineStr">
        <is>
          <t>Initiative Description</t>
        </is>
      </c>
      <c r="B3" s="2" t="inlineStr">
        <is>
          <t>Appendix A</t>
        </is>
      </c>
      <c r="C3" s="2" t="inlineStr">
        <is>
          <t>Monthly Savings ($)</t>
        </is>
      </c>
    </row>
    <row r="4">
      <c r="A4" s="3" t="inlineStr">
        <is>
          <t>Graviton3 Node Group Migration (c7g/m7g/r7g excluding payments/credit-scoring)</t>
        </is>
      </c>
      <c r="B4" s="3" t="inlineStr">
        <is>
          <t>A-08</t>
        </is>
      </c>
      <c r="C4" s="4" t="n">
        <v>22000</v>
      </c>
    </row>
    <row r="5">
      <c r="A5" s="3" t="inlineStr">
        <is>
          <t>EC2 Fleet Downsizing (&gt;40% oversized fleet with avg CPU &lt;20%)</t>
        </is>
      </c>
      <c r="B5" s="3" t="inlineStr">
        <is>
          <t>A-08</t>
        </is>
      </c>
      <c r="C5" s="4" t="n">
        <v>15000</v>
      </c>
    </row>
    <row r="6">
      <c r="A6" s="3" t="inlineStr">
        <is>
          <t>RDS Fleet Right-Sizing &amp; gp2 to gp3 Storage Migration</t>
        </is>
      </c>
      <c r="B6" s="3" t="inlineStr">
        <is>
          <t>A-09</t>
        </is>
      </c>
      <c r="C6" s="4" t="n">
        <v>8190</v>
      </c>
    </row>
    <row r="7">
      <c r="A7" s="3" t="inlineStr">
        <is>
          <t>EKS Pod Resource Limit Tuning &amp; HPA/VPA Rightsizing</t>
        </is>
      </c>
      <c r="B7" s="3" t="inlineStr">
        <is>
          <t>A-10</t>
        </is>
      </c>
      <c r="C7" s="4" t="n">
        <v>3600</v>
      </c>
    </row>
    <row r="8">
      <c r="A8" s="3" t="inlineStr">
        <is>
          <t>DynamoDB On-Demand vs Provisioned Capacity Evaluation</t>
        </is>
      </c>
      <c r="B8" s="3" t="inlineStr">
        <is>
          <t>A-11</t>
        </is>
      </c>
      <c r="C8" s="4" t="n">
        <v>1200</v>
      </c>
    </row>
    <row r="9">
      <c r="A9" s="3" t="inlineStr">
        <is>
          <t>Lambda Memory &amp; Timeout Power-Tuning</t>
        </is>
      </c>
      <c r="B9" s="3" t="inlineStr">
        <is>
          <t>A-12</t>
        </is>
      </c>
      <c r="C9" s="4" t="n">
        <v>500</v>
      </c>
    </row>
    <row r="10">
      <c r="A10" s="3" t="inlineStr">
        <is>
          <t>Disaster Recovery: Warm Standby to Pilot Light Transition</t>
        </is>
      </c>
      <c r="B10" s="3" t="inlineStr">
        <is>
          <t>A-23</t>
        </is>
      </c>
      <c r="C10" s="4" t="n">
        <v>3760</v>
      </c>
    </row>
    <row r="11">
      <c r="A11" s="8" t="inlineStr">
        <is>
          <t>STEP 2 TOTAL SAVINGS</t>
        </is>
      </c>
      <c r="B11" s="9" t="inlineStr"/>
      <c r="C11" s="10">
        <f>SUM(C4:C10)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3" customWidth="1" min="2" max="2"/>
    <col width="22" customWidth="1" min="3" max="3"/>
  </cols>
  <sheetData>
    <row r="1">
      <c r="A1" s="7" t="inlineStr">
        <is>
          <t>Step 3: Commitments &amp; Spot (Applied to Post-Step 2 $100,750 Baseline)</t>
        </is>
      </c>
    </row>
    <row r="2"/>
    <row r="3">
      <c r="A3" s="2" t="inlineStr">
        <is>
          <t>Initiative Description</t>
        </is>
      </c>
      <c r="B3" s="2" t="inlineStr">
        <is>
          <t>Appendix A</t>
        </is>
      </c>
      <c r="C3" s="2" t="inlineStr">
        <is>
          <t>Monthly Savings ($)</t>
        </is>
      </c>
    </row>
    <row r="4">
      <c r="A4" s="3" t="inlineStr">
        <is>
          <t>Compute Savings Plans (1-Year Partial Upfront for 70% steady compute)</t>
        </is>
      </c>
      <c r="B4" s="3" t="inlineStr">
        <is>
          <t>A-14</t>
        </is>
      </c>
      <c r="C4" s="4" t="n">
        <v>9874</v>
      </c>
    </row>
    <row r="5">
      <c r="A5" s="3" t="inlineStr">
        <is>
          <t>EC2 Instance Savings Plans for Stable Services (Gateway &amp; Auth)</t>
        </is>
      </c>
      <c r="B5" s="3" t="inlineStr">
        <is>
          <t>A-15</t>
        </is>
      </c>
      <c r="C5" s="4" t="n">
        <v>2871</v>
      </c>
    </row>
    <row r="6">
      <c r="A6" s="3" t="inlineStr">
        <is>
          <t>Spot Instance Adoption for Batch Workloads (Analytics &amp; Model Retraining)</t>
        </is>
      </c>
      <c r="B6" s="3" t="inlineStr">
        <is>
          <t>A-16</t>
        </is>
      </c>
      <c r="C6" s="4" t="n">
        <v>5600</v>
      </c>
    </row>
    <row r="7">
      <c r="A7" s="3" t="inlineStr">
        <is>
          <t>RDS Reserved Instances for Aurora PostgreSQL Clusters (1-Year No Upfront)</t>
        </is>
      </c>
      <c r="B7" s="3" t="inlineStr">
        <is>
          <t>A-15</t>
        </is>
      </c>
      <c r="C7" s="4" t="n">
        <v>3200</v>
      </c>
    </row>
    <row r="8">
      <c r="A8" s="3" t="inlineStr">
        <is>
          <t>ElastiCache Redis Reserved Nodes for Session Caching</t>
        </is>
      </c>
      <c r="B8" s="3" t="inlineStr">
        <is>
          <t>A-14</t>
        </is>
      </c>
      <c r="C8" s="4" t="n">
        <v>1680</v>
      </c>
    </row>
    <row r="9">
      <c r="A9" s="8" t="inlineStr">
        <is>
          <t>STEP 3 TOTAL SAVINGS</t>
        </is>
      </c>
      <c r="B9" s="9" t="inlineStr"/>
      <c r="C9" s="10">
        <f>SUM(C4:C8)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17" customWidth="1" min="3" max="3"/>
    <col width="17" customWidth="1" min="4" max="4"/>
    <col width="17" customWidth="1" min="5" max="5"/>
    <col width="24" customWidth="1" min="6" max="6"/>
    <col width="14" customWidth="1" min="7" max="7"/>
    <col width="48" customWidth="1" min="8" max="8"/>
  </cols>
  <sheetData>
    <row r="1">
      <c r="A1" s="1" t="inlineStr">
        <is>
          <t>Waterfall Savings Model — Sensitivity Analysis (-20% to +20%)</t>
        </is>
      </c>
    </row>
    <row r="2"/>
    <row r="3">
      <c r="A3" s="2" t="inlineStr">
        <is>
          <t>Scenario</t>
        </is>
      </c>
      <c r="B3" s="2" t="inlineStr">
        <is>
          <t>Variance</t>
        </is>
      </c>
      <c r="C3" s="2" t="inlineStr">
        <is>
          <t>Step 1 Savings</t>
        </is>
      </c>
      <c r="D3" s="2" t="inlineStr">
        <is>
          <t>Step 2 Savings</t>
        </is>
      </c>
      <c r="E3" s="2" t="inlineStr">
        <is>
          <t>Step 3 Savings</t>
        </is>
      </c>
      <c r="F3" s="2" t="inlineStr">
        <is>
          <t>Total Monthly Savings</t>
        </is>
      </c>
      <c r="G3" s="2" t="inlineStr">
        <is>
          <t>Final Spend</t>
        </is>
      </c>
      <c r="H3" s="2" t="inlineStr">
        <is>
          <t>Target Met?</t>
        </is>
      </c>
    </row>
    <row r="4">
      <c r="A4" s="11" t="inlineStr">
        <is>
          <t>Downside (-20%)</t>
        </is>
      </c>
      <c r="B4" s="12" t="n">
        <v>-0.2</v>
      </c>
      <c r="C4" s="13" t="n">
        <v>20000</v>
      </c>
      <c r="D4" s="13" t="n">
        <v>43400</v>
      </c>
      <c r="E4" s="13" t="n">
        <v>18580</v>
      </c>
      <c r="F4" s="4">
        <f>SUM(C4:E4)</f>
        <v/>
      </c>
      <c r="G4" s="4">
        <f>180000-F4</f>
        <v/>
      </c>
      <c r="H4" s="14">
        <f>IF(F4&gt;=60000,"PASS (&gt;=60k)","UNDER TARGET")</f>
        <v/>
      </c>
    </row>
    <row r="5">
      <c r="A5" s="11" t="inlineStr">
        <is>
          <t>Conservative (-10%)</t>
        </is>
      </c>
      <c r="B5" s="12" t="n">
        <v>-0.1</v>
      </c>
      <c r="C5" s="13" t="n">
        <v>22500</v>
      </c>
      <c r="D5" s="13" t="n">
        <v>48825</v>
      </c>
      <c r="E5" s="13" t="n">
        <v>20902.5</v>
      </c>
      <c r="F5" s="4">
        <f>SUM(C5:E5)</f>
        <v/>
      </c>
      <c r="G5" s="4">
        <f>180000-F5</f>
        <v/>
      </c>
      <c r="H5" s="14">
        <f>IF(F5&gt;=60000,"PASS (&gt;=60k)","UNDER TARGET")</f>
        <v/>
      </c>
    </row>
    <row r="6">
      <c r="A6" s="11" t="inlineStr">
        <is>
          <t>Slight Drag (-5%)</t>
        </is>
      </c>
      <c r="B6" s="12" t="n">
        <v>-0.05</v>
      </c>
      <c r="C6" s="13" t="n">
        <v>23750</v>
      </c>
      <c r="D6" s="13" t="n">
        <v>51537.5</v>
      </c>
      <c r="E6" s="13" t="n">
        <v>22063.75</v>
      </c>
      <c r="F6" s="4">
        <f>SUM(C6:E6)</f>
        <v/>
      </c>
      <c r="G6" s="4">
        <f>180000-F6</f>
        <v/>
      </c>
      <c r="H6" s="14">
        <f>IF(F6&gt;=60000,"PASS (&gt;=60k)","UNDER TARGET")</f>
        <v/>
      </c>
    </row>
    <row r="7">
      <c r="A7" s="11" t="inlineStr">
        <is>
          <t>Base Case (0%)</t>
        </is>
      </c>
      <c r="B7" s="12" t="n">
        <v>0</v>
      </c>
      <c r="C7" s="13" t="n">
        <v>25000</v>
      </c>
      <c r="D7" s="13" t="n">
        <v>54250</v>
      </c>
      <c r="E7" s="13" t="n">
        <v>23225</v>
      </c>
      <c r="F7" s="4">
        <f>SUM(C7:E7)</f>
        <v/>
      </c>
      <c r="G7" s="4">
        <f>180000-F7</f>
        <v/>
      </c>
      <c r="H7" s="14">
        <f>IF(F7&gt;=60000,"PASS (&gt;=60k)","UNDER TARGET")</f>
        <v/>
      </c>
    </row>
    <row r="8">
      <c r="A8" s="11" t="inlineStr">
        <is>
          <t>Optimistic (+5%)</t>
        </is>
      </c>
      <c r="B8" s="12" t="n">
        <v>0.05</v>
      </c>
      <c r="C8" s="13" t="n">
        <v>26250</v>
      </c>
      <c r="D8" s="13" t="n">
        <v>56962.5</v>
      </c>
      <c r="E8" s="13" t="n">
        <v>24386.25</v>
      </c>
      <c r="F8" s="4">
        <f>SUM(C8:E8)</f>
        <v/>
      </c>
      <c r="G8" s="4">
        <f>180000-F8</f>
        <v/>
      </c>
      <c r="H8" s="14">
        <f>IF(F8&gt;=60000,"PASS (&gt;=60k)","UNDER TARGET")</f>
        <v/>
      </c>
    </row>
    <row r="9">
      <c r="A9" s="11" t="inlineStr">
        <is>
          <t>High Realization (+10%)</t>
        </is>
      </c>
      <c r="B9" s="12" t="n">
        <v>0.1</v>
      </c>
      <c r="C9" s="13" t="n">
        <v>27500</v>
      </c>
      <c r="D9" s="13" t="n">
        <v>59675</v>
      </c>
      <c r="E9" s="13" t="n">
        <v>25547.5</v>
      </c>
      <c r="F9" s="4">
        <f>SUM(C9:E9)</f>
        <v/>
      </c>
      <c r="G9" s="4">
        <f>180000-F9</f>
        <v/>
      </c>
      <c r="H9" s="14">
        <f>IF(F9&gt;=60000,"PASS (&gt;=60k)","UNDER TARGET")</f>
        <v/>
      </c>
    </row>
    <row r="10">
      <c r="A10" s="11" t="inlineStr">
        <is>
          <t>Upside (+20%)</t>
        </is>
      </c>
      <c r="B10" s="12" t="n">
        <v>0.2</v>
      </c>
      <c r="C10" s="13" t="n">
        <v>30000</v>
      </c>
      <c r="D10" s="13" t="n">
        <v>65100</v>
      </c>
      <c r="E10" s="13" t="n">
        <v>27870</v>
      </c>
      <c r="F10" s="4">
        <f>SUM(C10:E10)</f>
        <v/>
      </c>
      <c r="G10" s="4">
        <f>180000-F10</f>
        <v/>
      </c>
      <c r="H10" s="14">
        <f>IF(F10&gt;=60000,"PASS (&gt;=60k)","UNDER TARGET")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1" customWidth="1" min="2" max="2"/>
    <col width="29" customWidth="1" min="3" max="3"/>
    <col width="32" customWidth="1" min="4" max="4"/>
    <col width="14" customWidth="1" min="5" max="5"/>
  </cols>
  <sheetData>
    <row r="1">
      <c r="A1" s="1" t="inlineStr">
        <is>
          <t>Executive Savings Waterfall Summary (Zero Double-Counting Model)</t>
        </is>
      </c>
    </row>
    <row r="2"/>
    <row r="3">
      <c r="A3" s="2" t="inlineStr">
        <is>
          <t>Stage</t>
        </is>
      </c>
      <c r="B3" s="2" t="inlineStr">
        <is>
          <t>Baseline Input ($)</t>
        </is>
      </c>
      <c r="C3" s="2" t="inlineStr">
        <is>
          <t>Savings Amount ($)</t>
        </is>
      </c>
      <c r="D3" s="2" t="inlineStr">
        <is>
          <t>Formula / Output Baseline ($)</t>
        </is>
      </c>
      <c r="E3" s="2" t="inlineStr">
        <is>
          <t>Reduction %</t>
        </is>
      </c>
    </row>
    <row r="4">
      <c r="A4" s="11" t="inlineStr">
        <is>
          <t>Initial Baseline Spend</t>
        </is>
      </c>
      <c r="B4" s="13" t="n">
        <v>180000</v>
      </c>
      <c r="C4" s="13" t="n">
        <v>0</v>
      </c>
      <c r="D4" s="13">
        <f>B4</f>
        <v/>
      </c>
      <c r="E4" s="15" t="n">
        <v>0</v>
      </c>
    </row>
    <row r="5">
      <c r="A5" s="11" t="inlineStr">
        <is>
          <t>Step 1: Eliminate Idle &amp; Orphaned</t>
        </is>
      </c>
      <c r="B5" s="13">
        <f>D4</f>
        <v/>
      </c>
      <c r="C5" s="13">
        <f>'Step 1 - Eliminate'!C10</f>
        <v/>
      </c>
      <c r="D5" s="13">
        <f>B5-C5</f>
        <v/>
      </c>
      <c r="E5" s="15">
        <f>C5/B5</f>
        <v/>
      </c>
    </row>
    <row r="6">
      <c r="A6" s="11" t="inlineStr">
        <is>
          <t>Step 2: Right-Size Capacity</t>
        </is>
      </c>
      <c r="B6" s="13">
        <f>D5</f>
        <v/>
      </c>
      <c r="C6" s="13">
        <f>'Step 2 - Right-Size'!C11</f>
        <v/>
      </c>
      <c r="D6" s="13">
        <f>B6-C6</f>
        <v/>
      </c>
      <c r="E6" s="15">
        <f>C6/B6</f>
        <v/>
      </c>
    </row>
    <row r="7">
      <c r="A7" s="11" t="inlineStr">
        <is>
          <t>Step 3: Commitments &amp; Spot</t>
        </is>
      </c>
      <c r="B7" s="13">
        <f>D6</f>
        <v/>
      </c>
      <c r="C7" s="13">
        <f>'Step 3 - Commitments'!C9</f>
        <v/>
      </c>
      <c r="D7" s="13">
        <f>B7-C7</f>
        <v/>
      </c>
      <c r="E7" s="15">
        <f>C7/B7</f>
        <v/>
      </c>
    </row>
    <row r="8">
      <c r="A8" s="8" t="inlineStr">
        <is>
          <t>TOTAL NET SAVINGS</t>
        </is>
      </c>
      <c r="B8" s="10">
        <f>B4</f>
        <v/>
      </c>
      <c r="C8" s="10">
        <f>C5+C6+C7</f>
        <v/>
      </c>
      <c r="D8" s="10">
        <f>D7</f>
        <v/>
      </c>
      <c r="E8" s="16">
        <f>C8/B8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2026-10-17T07:14:03Z</dcterms:created>
  <dcterms:modified xmlns:dcterms="http://purl.org/dc/terms/" xmlns:xsi="http://www.w3.org/2001/XMLSchema-instance" xsi:type="dcterms:W3CDTF">2026-10-17T07:14:04Z</dcterms:modified>
</cp:coreProperties>
</file>